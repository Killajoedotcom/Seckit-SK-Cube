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3e40a92c16ad2a/Printers/SecKit Cube 200x200x200/"/>
    </mc:Choice>
  </mc:AlternateContent>
  <xr:revisionPtr revIDLastSave="0" documentId="8_{25614A02-766F-4C76-B803-86B0C4BBBC7A}" xr6:coauthVersionLast="47" xr6:coauthVersionMax="47" xr10:uidLastSave="{00000000-0000-0000-0000-000000000000}"/>
  <workbookProtection workbookAlgorithmName="SHA-512" workbookHashValue="i83f49FYIrpy8Xa1fFk4Wn4bXuUzTTTsxyMNmAWkqxKToO2IQpo1ePxMkZ5wDp/mKzB7rFdTckMZNj7aWyhAoQ==" workbookSaltValue="myp/RMxf2ZrrhPTOn+RAGA==" workbookSpinCount="100000" lockStructure="1"/>
  <bookViews>
    <workbookView xWindow="-98" yWindow="-98" windowWidth="20715" windowHeight="13276" firstSheet="1" activeTab="1" xr2:uid="{C23B89ED-7B17-469A-AAEE-50C83F6C9DF6}"/>
  </bookViews>
  <sheets>
    <sheet name="Data" sheetId="3" state="hidden" r:id="rId1"/>
    <sheet name="Calc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B29" i="3" s="1"/>
  <c r="B31" i="2"/>
  <c r="B26" i="2"/>
  <c r="A25" i="3" l="1"/>
  <c r="A24" i="3"/>
  <c r="C3" i="3"/>
  <c r="C4" i="3"/>
  <c r="C5" i="3"/>
  <c r="C6" i="3"/>
  <c r="C7" i="3"/>
  <c r="C8" i="3"/>
  <c r="C9" i="3"/>
  <c r="C2" i="3"/>
  <c r="E9" i="3" l="1"/>
  <c r="E5" i="3"/>
  <c r="B12" i="3" s="1"/>
  <c r="A18" i="3" l="1"/>
  <c r="B25" i="2" s="1"/>
  <c r="A26" i="3"/>
  <c r="B31" i="3"/>
  <c r="B17" i="2"/>
  <c r="C17" i="2" s="1"/>
  <c r="B30" i="3"/>
  <c r="B13" i="3"/>
  <c r="B14" i="3" s="1"/>
  <c r="B15" i="3" s="1"/>
  <c r="B19" i="2" s="1"/>
  <c r="C19" i="2" s="1"/>
  <c r="B16" i="2"/>
  <c r="C16" i="2" s="1"/>
  <c r="B32" i="3" l="1"/>
  <c r="A27" i="3" s="1"/>
  <c r="B32" i="2" s="1"/>
</calcChain>
</file>

<file path=xl/sharedStrings.xml><?xml version="1.0" encoding="utf-8"?>
<sst xmlns="http://schemas.openxmlformats.org/spreadsheetml/2006/main" count="30" uniqueCount="29">
  <si>
    <t>Design</t>
  </si>
  <si>
    <t>X</t>
  </si>
  <si>
    <t>Y</t>
  </si>
  <si>
    <t>% Error</t>
  </si>
  <si>
    <t>Correction</t>
  </si>
  <si>
    <t>Skew</t>
  </si>
  <si>
    <t>H1 (a)</t>
  </si>
  <si>
    <t>H2 (b)</t>
  </si>
  <si>
    <t>Klipper</t>
  </si>
  <si>
    <t>GET_CURRENT_SKEW</t>
  </si>
  <si>
    <t>SKEW_PROFILE SAVE=my_skew_profile</t>
  </si>
  <si>
    <t>Angle</t>
  </si>
  <si>
    <t>Measurements</t>
  </si>
  <si>
    <t>Results</t>
  </si>
  <si>
    <t>Error</t>
  </si>
  <si>
    <t>Klipper G Code Fix</t>
  </si>
  <si>
    <t>Marlin</t>
  </si>
  <si>
    <t>RRF</t>
  </si>
  <si>
    <t>if ENABLED(SKEW_CORRECTION)</t>
  </si>
  <si>
    <t>Skew Factor</t>
  </si>
  <si>
    <t>AC</t>
  </si>
  <si>
    <t>AB</t>
  </si>
  <si>
    <t>AD</t>
  </si>
  <si>
    <t>Marlin Firmware Adjustment</t>
  </si>
  <si>
    <t>Fix Skew</t>
  </si>
  <si>
    <t>Reading 1</t>
  </si>
  <si>
    <t>Reading 2</t>
  </si>
  <si>
    <t>Reading 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</si>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</sst>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°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1" applyNumberFormat="1" applyFont="1" applyAlignment="1">
      <alignment horizontal="center"/>
    </xf>
    <xf numFmtId="0" fontId="2" fillId="0" borderId="0" xfId="0" applyFont="1"/>
    <xf numFmtId="2" fontId="0" fillId="0" borderId="0" xfId="0" applyNumberFormat="1"/>
    <xf numFmtId="10" fontId="0" fillId="0" borderId="0" xfId="1" applyNumberFormat="1" applyFont="1"/>
    <xf numFmtId="0" fontId="3" fillId="0" borderId="0" xfId="0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2" fontId="0" fillId="0" borderId="0" xfId="0" applyNumberFormat="1" applyAlignment="1" applyProtection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256443</xdr:colOff>
      <xdr:row>0</xdr:row>
      <xdr:rowOff>236736</xdr:rowOff>
    </xdr:from>
    <xdr:to>
      <xdr:col>13</xdr:col>
      <xdr:colOff>145703</xdr:colOff>
      <xdr:row>19</xdr:row>
      <xdr:rowOff>92977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7EC65-8CC2-4C6F-BC26-2EC1C825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2495" y="236736"/>
          <a:ext cx="4776570" cy="3830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14C2-2CC2-465E-A1D4-A42848F58353}">
  <dimension ref="A1:E36"/>
  <sheetViews>
    <sheetView workbookViewId="0">
      <selection activeCell="A18" sqref="A18"/>
    </sheetView>
  </sheetViews>
  <sheetFormatPr defaultRowHeight="14.25" x14ac:dyDescent="0.45"/>
  <cols>
    <col min="1" max="1" width="11.59765625" customWidth="1"/>
    <col min="2" max="2" width="14.265625" customWidth="1"/>
    <col min="3" max="3" width="14.3984375" customWidth="1"/>
  </cols>
  <sheetData>
    <row r="1" spans="1:5" ht="15.75" x14ac:dyDescent="0.5">
      <c r="B1" t="s">
        <v>0</v>
      </c>
      <c r="C1" s="2" t="s">
        <v>3</v>
      </c>
    </row>
    <row r="2" spans="1:5" x14ac:dyDescent="0.45">
      <c r="A2">
        <v>1</v>
      </c>
      <c r="B2">
        <v>100</v>
      </c>
      <c r="C2" s="4">
        <f>(Calculator!E3-Data!B2)/B2</f>
        <v>-7.1333333333332407E-3</v>
      </c>
    </row>
    <row r="3" spans="1:5" x14ac:dyDescent="0.45">
      <c r="A3">
        <v>2</v>
      </c>
      <c r="B3">
        <v>50</v>
      </c>
      <c r="C3" s="4">
        <f>(Calculator!E4-Data!B3)/B3</f>
        <v>-5.9333333333331951E-3</v>
      </c>
    </row>
    <row r="4" spans="1:5" x14ac:dyDescent="0.45">
      <c r="A4">
        <v>3</v>
      </c>
      <c r="B4">
        <v>100</v>
      </c>
      <c r="C4" s="4">
        <f>(Calculator!E5-Data!B4)/B4</f>
        <v>6.6666666666662881E-4</v>
      </c>
    </row>
    <row r="5" spans="1:5" x14ac:dyDescent="0.45">
      <c r="A5">
        <v>4</v>
      </c>
      <c r="B5">
        <v>50</v>
      </c>
      <c r="C5" s="4">
        <f>(Calculator!E6-Data!B5)/B5</f>
        <v>-5.8666666666665887E-3</v>
      </c>
      <c r="E5" s="6">
        <f>AVERAGE(C2:C5)</f>
        <v>-4.5666666666665991E-3</v>
      </c>
    </row>
    <row r="6" spans="1:5" x14ac:dyDescent="0.45">
      <c r="A6">
        <v>5</v>
      </c>
      <c r="B6">
        <v>100</v>
      </c>
      <c r="C6" s="4">
        <f>(Calculator!E7-Data!B6)/B6</f>
        <v>3.9333333333333087E-3</v>
      </c>
    </row>
    <row r="7" spans="1:5" x14ac:dyDescent="0.45">
      <c r="A7">
        <v>6</v>
      </c>
      <c r="B7">
        <v>50</v>
      </c>
      <c r="C7" s="4">
        <f>(Calculator!E8-Data!B7)/B7</f>
        <v>4.2666666666666235E-3</v>
      </c>
    </row>
    <row r="8" spans="1:5" x14ac:dyDescent="0.45">
      <c r="A8">
        <v>7</v>
      </c>
      <c r="B8">
        <v>100</v>
      </c>
      <c r="C8" s="4">
        <f>(Calculator!E9-Data!B8)/B8</f>
        <v>4.0000000000006252E-4</v>
      </c>
    </row>
    <row r="9" spans="1:5" x14ac:dyDescent="0.45">
      <c r="A9">
        <v>8</v>
      </c>
      <c r="B9">
        <v>50</v>
      </c>
      <c r="C9" s="4">
        <f>(Calculator!E10-Data!B9)/B9</f>
        <v>1.666666666666714E-3</v>
      </c>
      <c r="E9" s="6">
        <f>AVERAGE(C6:C9)</f>
        <v>2.5666666666666772E-3</v>
      </c>
    </row>
    <row r="10" spans="1:5" x14ac:dyDescent="0.45">
      <c r="A10">
        <v>11</v>
      </c>
      <c r="C10" s="4"/>
      <c r="E10" s="6"/>
    </row>
    <row r="12" spans="1:5" x14ac:dyDescent="0.45">
      <c r="A12" t="s">
        <v>6</v>
      </c>
      <c r="B12" s="3">
        <f>70.004*(1+E5)</f>
        <v>69.68431506666667</v>
      </c>
    </row>
    <row r="13" spans="1:5" x14ac:dyDescent="0.45">
      <c r="A13" t="s">
        <v>7</v>
      </c>
      <c r="B13" s="3">
        <f>SQRT(((Calculator!E12^2)+(Calculator!E11^2)-2*(B12^2))/2)</f>
        <v>71.550297385208381</v>
      </c>
    </row>
    <row r="14" spans="1:5" x14ac:dyDescent="0.45">
      <c r="A14" t="s">
        <v>11</v>
      </c>
      <c r="B14" s="3">
        <f>DEGREES(ACOS(((Calculator!E11^2)-(B12^2)-(B13^2))/(2*B12*B13)))</f>
        <v>90.019128853928251</v>
      </c>
    </row>
    <row r="15" spans="1:5" x14ac:dyDescent="0.45">
      <c r="A15" t="s">
        <v>5</v>
      </c>
      <c r="B15" s="3">
        <f>90-B14</f>
        <v>-1.9128853928251033E-2</v>
      </c>
    </row>
    <row r="17" spans="1:2" x14ac:dyDescent="0.45">
      <c r="A17" s="8" t="s">
        <v>8</v>
      </c>
    </row>
    <row r="18" spans="1:2" x14ac:dyDescent="0.45">
      <c r="A18" t="str">
        <f>"SET_SKEW XY="&amp;ROUND(Calculator!E12,2)&amp;","&amp;ROUND(Calculator!E11,2)&amp;","&amp;ROUND(B12,2)</f>
        <v>SET_SKEW XY=99.89,99.86,69.68</v>
      </c>
    </row>
    <row r="19" spans="1:2" x14ac:dyDescent="0.45">
      <c r="A19" t="s">
        <v>10</v>
      </c>
    </row>
    <row r="20" spans="1:2" x14ac:dyDescent="0.45">
      <c r="A20" t="s">
        <v>9</v>
      </c>
    </row>
    <row r="22" spans="1:2" x14ac:dyDescent="0.45">
      <c r="A22" s="8" t="s">
        <v>16</v>
      </c>
    </row>
    <row r="23" spans="1:2" x14ac:dyDescent="0.45">
      <c r="A23" t="s">
        <v>18</v>
      </c>
    </row>
    <row r="24" spans="1:2" x14ac:dyDescent="0.45">
      <c r="A24" t="str">
        <f>" define XY_DIAG_AC " &amp; Calculator!E12</f>
        <v xml:space="preserve"> define XY_DIAG_AC 99.8933333333333</v>
      </c>
    </row>
    <row r="25" spans="1:2" x14ac:dyDescent="0.45">
      <c r="A25" t="str">
        <f>" define XY_DIAG_BD " &amp; Calculator!E11</f>
        <v xml:space="preserve"> define XY_DIAG_BD 99.86</v>
      </c>
    </row>
    <row r="26" spans="1:2" x14ac:dyDescent="0.45">
      <c r="A26" t="str">
        <f>" define XY_SIDE_AD " &amp;B12</f>
        <v xml:space="preserve"> define XY_SIDE_AD 69.6843150666667</v>
      </c>
    </row>
    <row r="27" spans="1:2" x14ac:dyDescent="0.45">
      <c r="A27" t="str">
        <f>" define XY_SKEW_FACTOR " &amp; ROUND(B32,3)</f>
        <v xml:space="preserve"> define XY_SKEW_FACTOR 0.02</v>
      </c>
    </row>
    <row r="29" spans="1:2" x14ac:dyDescent="0.45">
      <c r="A29" t="s">
        <v>20</v>
      </c>
      <c r="B29">
        <f>Calculator!E12</f>
        <v>99.893333333333331</v>
      </c>
    </row>
    <row r="30" spans="1:2" x14ac:dyDescent="0.45">
      <c r="A30" t="s">
        <v>21</v>
      </c>
      <c r="B30" s="3">
        <f>70.004*(1+E9)</f>
        <v>70.183676933333331</v>
      </c>
    </row>
    <row r="31" spans="1:2" x14ac:dyDescent="0.45">
      <c r="A31" t="s">
        <v>22</v>
      </c>
      <c r="B31" s="3">
        <f>B12</f>
        <v>69.68431506666667</v>
      </c>
    </row>
    <row r="32" spans="1:2" x14ac:dyDescent="0.45">
      <c r="A32" t="s">
        <v>19</v>
      </c>
      <c r="B32">
        <f>TAN(PI()/2-ACOS(((B29^2)-(B30^2)-(B31^2))/(2*B30*B31)))</f>
        <v>2.0146982435759308E-2</v>
      </c>
    </row>
    <row r="36" spans="1:1" x14ac:dyDescent="0.45">
      <c r="A36" s="8" t="s">
        <v>17</v>
      </c>
    </row>
  </sheetData>
  <sheetProtection algorithmName="SHA-512" hashValue="lP4n3VR3B6ybmHNnLrMYGd0Xc4d7vApZP2ziftHOPHhSc9LL4xND8M1Gb5QY3r5C2pUKCd9+ruoQMiydh6KnPA==" saltValue="RW6hg5cbfmiog47MxG3Tng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E97B-484C-49CC-958C-1D8C3FE146D4}">
  <dimension ref="A1:E32"/>
  <sheetViews>
    <sheetView tabSelected="1" zoomScale="90" zoomScaleNormal="90" workbookViewId="0">
      <selection activeCell="B25" sqref="B25"/>
    </sheetView>
  </sheetViews>
  <sheetFormatPr defaultRowHeight="14.25" x14ac:dyDescent="0.45"/>
  <cols>
    <col min="1" max="1" width="10.86328125" customWidth="1"/>
    <col min="2" max="2" width="16" customWidth="1"/>
    <col min="3" max="3" width="17.1328125" customWidth="1"/>
    <col min="4" max="4" width="16.73046875" customWidth="1"/>
    <col min="5" max="5" width="17.265625" customWidth="1"/>
  </cols>
  <sheetData>
    <row r="1" spans="1:5" ht="23.25" x14ac:dyDescent="0.7">
      <c r="A1" s="5" t="s">
        <v>12</v>
      </c>
    </row>
    <row r="2" spans="1:5" ht="18.75" customHeight="1" x14ac:dyDescent="0.7">
      <c r="A2" s="5"/>
      <c r="B2" s="11" t="s">
        <v>25</v>
      </c>
      <c r="C2" s="11" t="s">
        <v>26</v>
      </c>
      <c r="D2" s="11" t="s">
        <v>27</v>
      </c>
      <c r="E2" s="11" t="s">
        <v>28</v>
      </c>
    </row>
    <row r="3" spans="1:5" ht="15.75" x14ac:dyDescent="0.5">
      <c r="A3" s="9">
        <v>1</v>
      </c>
      <c r="B3" s="12">
        <v>99.25</v>
      </c>
      <c r="C3" s="12">
        <v>99.32</v>
      </c>
      <c r="D3" s="12">
        <v>99.29</v>
      </c>
      <c r="E3" s="14">
        <f>AVERAGE(B3:D3)</f>
        <v>99.286666666666676</v>
      </c>
    </row>
    <row r="4" spans="1:5" ht="15.75" x14ac:dyDescent="0.5">
      <c r="A4" s="9">
        <v>2</v>
      </c>
      <c r="B4" s="12">
        <v>49.72</v>
      </c>
      <c r="C4" s="12">
        <v>49.69</v>
      </c>
      <c r="D4" s="12">
        <v>49.7</v>
      </c>
      <c r="E4" s="14">
        <f t="shared" ref="E4:E12" si="0">AVERAGE(B4:D4)</f>
        <v>49.70333333333334</v>
      </c>
    </row>
    <row r="5" spans="1:5" ht="15.75" x14ac:dyDescent="0.5">
      <c r="A5" s="9">
        <v>3</v>
      </c>
      <c r="B5" s="12">
        <v>100.07</v>
      </c>
      <c r="C5" s="12">
        <v>100.05</v>
      </c>
      <c r="D5" s="12">
        <v>100.08</v>
      </c>
      <c r="E5" s="14">
        <f t="shared" si="0"/>
        <v>100.06666666666666</v>
      </c>
    </row>
    <row r="6" spans="1:5" ht="15.75" x14ac:dyDescent="0.5">
      <c r="A6" s="9">
        <v>4</v>
      </c>
      <c r="B6" s="12">
        <v>49.63</v>
      </c>
      <c r="C6" s="12">
        <v>49.79</v>
      </c>
      <c r="D6" s="12">
        <v>49.7</v>
      </c>
      <c r="E6" s="14">
        <f t="shared" si="0"/>
        <v>49.706666666666671</v>
      </c>
    </row>
    <row r="7" spans="1:5" ht="15.75" x14ac:dyDescent="0.5">
      <c r="A7" s="9">
        <v>5</v>
      </c>
      <c r="B7" s="12">
        <v>100.41</v>
      </c>
      <c r="C7" s="12">
        <v>100.35</v>
      </c>
      <c r="D7" s="12">
        <v>100.42</v>
      </c>
      <c r="E7" s="14">
        <f t="shared" si="0"/>
        <v>100.39333333333333</v>
      </c>
    </row>
    <row r="8" spans="1:5" ht="15.75" x14ac:dyDescent="0.5">
      <c r="A8" s="9">
        <v>6</v>
      </c>
      <c r="B8" s="12">
        <v>50.18</v>
      </c>
      <c r="C8" s="12">
        <v>50.26</v>
      </c>
      <c r="D8" s="12">
        <v>50.2</v>
      </c>
      <c r="E8" s="14">
        <f t="shared" si="0"/>
        <v>50.213333333333331</v>
      </c>
    </row>
    <row r="9" spans="1:5" ht="15.75" x14ac:dyDescent="0.5">
      <c r="A9" s="9">
        <v>7</v>
      </c>
      <c r="B9" s="12">
        <v>99.93</v>
      </c>
      <c r="C9" s="12">
        <v>100</v>
      </c>
      <c r="D9" s="12">
        <v>100.19</v>
      </c>
      <c r="E9" s="14">
        <f t="shared" si="0"/>
        <v>100.04</v>
      </c>
    </row>
    <row r="10" spans="1:5" ht="15.75" x14ac:dyDescent="0.5">
      <c r="A10" s="9">
        <v>8</v>
      </c>
      <c r="B10" s="12">
        <v>50.03</v>
      </c>
      <c r="C10" s="12">
        <v>50.11</v>
      </c>
      <c r="D10" s="12">
        <v>50.11</v>
      </c>
      <c r="E10" s="14">
        <f t="shared" si="0"/>
        <v>50.083333333333336</v>
      </c>
    </row>
    <row r="11" spans="1:5" ht="15.75" x14ac:dyDescent="0.5">
      <c r="A11" s="9">
        <v>9</v>
      </c>
      <c r="B11" s="12">
        <v>99.91</v>
      </c>
      <c r="C11" s="12">
        <v>99.83</v>
      </c>
      <c r="D11" s="12">
        <v>99.84</v>
      </c>
      <c r="E11" s="14">
        <f t="shared" si="0"/>
        <v>99.860000000000014</v>
      </c>
    </row>
    <row r="12" spans="1:5" ht="15.75" x14ac:dyDescent="0.5">
      <c r="A12" s="9">
        <v>10</v>
      </c>
      <c r="B12" s="12">
        <v>99.9</v>
      </c>
      <c r="C12" s="12">
        <v>99.93</v>
      </c>
      <c r="D12" s="12">
        <v>99.85</v>
      </c>
      <c r="E12" s="14">
        <f t="shared" si="0"/>
        <v>99.893333333333331</v>
      </c>
    </row>
    <row r="14" spans="1:5" ht="23.25" x14ac:dyDescent="0.7">
      <c r="A14" s="5" t="s">
        <v>13</v>
      </c>
    </row>
    <row r="15" spans="1:5" ht="15.75" x14ac:dyDescent="0.5">
      <c r="B15" s="11" t="s">
        <v>14</v>
      </c>
      <c r="C15" s="11" t="s">
        <v>4</v>
      </c>
    </row>
    <row r="16" spans="1:5" ht="15.75" x14ac:dyDescent="0.5">
      <c r="A16" s="11" t="s">
        <v>1</v>
      </c>
      <c r="B16" s="7">
        <f>Data!E5</f>
        <v>-4.5666666666665991E-3</v>
      </c>
      <c r="C16" s="1">
        <f>B16*-1</f>
        <v>4.5666666666665991E-3</v>
      </c>
    </row>
    <row r="17" spans="1:3" ht="15.75" x14ac:dyDescent="0.5">
      <c r="A17" s="11" t="s">
        <v>2</v>
      </c>
      <c r="B17" s="7">
        <f>Data!E9</f>
        <v>2.5666666666666772E-3</v>
      </c>
      <c r="C17" s="1">
        <f>B17*-1</f>
        <v>-2.5666666666666772E-3</v>
      </c>
    </row>
    <row r="18" spans="1:3" ht="15.75" x14ac:dyDescent="0.5">
      <c r="A18" s="2"/>
    </row>
    <row r="19" spans="1:3" ht="15.75" x14ac:dyDescent="0.5">
      <c r="A19" s="11" t="s">
        <v>5</v>
      </c>
      <c r="B19" s="10">
        <f>Data!B15</f>
        <v>-1.9128853928251033E-2</v>
      </c>
      <c r="C19" s="10">
        <f>-B19</f>
        <v>1.9128853928251033E-2</v>
      </c>
    </row>
    <row r="22" spans="1:3" ht="23.25" x14ac:dyDescent="0.7">
      <c r="A22" s="5" t="s">
        <v>24</v>
      </c>
    </row>
    <row r="23" spans="1:3" x14ac:dyDescent="0.45">
      <c r="A23" t="s">
        <v>15</v>
      </c>
    </row>
    <row r="25" spans="1:3" x14ac:dyDescent="0.45">
      <c r="B25" s="13" t="str">
        <f>Data!A18</f>
        <v>SET_SKEW XY=99.89,99.86,69.68</v>
      </c>
    </row>
    <row r="26" spans="1:3" x14ac:dyDescent="0.45">
      <c r="B26" s="13" t="str">
        <f>Data!A19</f>
        <v>SKEW_PROFILE SAVE=my_skew_profile</v>
      </c>
    </row>
    <row r="29" spans="1:3" x14ac:dyDescent="0.45">
      <c r="A29" t="s">
        <v>23</v>
      </c>
    </row>
    <row r="31" spans="1:3" x14ac:dyDescent="0.45">
      <c r="B31" s="13" t="str">
        <f>Data!A23</f>
        <v>if ENABLED(SKEW_CORRECTION)</v>
      </c>
    </row>
    <row r="32" spans="1:3" x14ac:dyDescent="0.45">
      <c r="B32" s="13" t="str">
        <f>Data!A27</f>
        <v xml:space="preserve"> define XY_SKEW_FACTOR 0.02</v>
      </c>
    </row>
  </sheetData>
  <sheetProtection algorithmName="SHA-512" hashValue="+JQRO9JFNvBtcA/K4nAd886Wrj4mEPOjnSGppDIhCBqXkfPkucJynCCCdL+zhqrAoOUj4oCGhKRSGjsK/rhRBg==" saltValue="btwoJMkXJ2g8rnC+ARTAnA==" spinCount="100000" sheet="1" objects="1" scenarios="1" selectLockedCells="1"/>
  <dataValidations count="2">
    <dataValidation type="decimal" allowBlank="1" showInputMessage="1" showErrorMessage="1" error="Value must be a decimal between 0 and 1000" sqref="E3:E12" xr:uid="{A1C4DB04-3CFC-4E30-BE9C-230F685C692D}">
      <formula1>0</formula1>
      <formula2>1000</formula2>
    </dataValidation>
    <dataValidation type="decimal" allowBlank="1" showInputMessage="1" showErrorMessage="1" error="Value must be a decimal between 0 and 1000." sqref="B3:D12" xr:uid="{50B9A80E-D7B4-44A8-992B-397CA3708355}">
      <formula1>0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E3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custom" allowBlank="1" showInputMessage="1" showErrorMessage="1" error="Cell cannot be changed" xr:uid="{00F250B0-F11C-4E88-BCED-5007CD72CE33}">
          <x14:formula1>
            <xm:f>Data!A18</xm:f>
          </x14:formula1>
          <xm:sqref>B25:B26</xm:sqref>
        </x14:dataValidation>
        <x14:dataValidation type="custom" allowBlank="1" showInputMessage="1" showErrorMessage="1" error="Cell cannot be changed" xr:uid="{41F22361-FAA5-42DB-A93C-D25058F2DDDB}">
          <x14:formula1>
            <xm:f>Data!A23</xm:f>
          </x14:formula1>
          <xm:sqref>B31</xm:sqref>
        </x14:dataValidation>
        <x14:dataValidation type="custom" allowBlank="1" showInputMessage="1" showErrorMessage="1" error="Cell cannot be changed" xr:uid="{B3D3141F-C5F4-4087-BA1D-AAC5F5F4D1DB}">
          <x14:formula1>
            <xm:f>Data!A27</xm:f>
          </x14:formula1>
          <xm:sqref>B32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Meadows</dc:creator>
  <cp:lastModifiedBy>Joseph VonDohlen</cp:lastModifiedBy>
  <dcterms:created xsi:type="dcterms:W3CDTF">2021-12-10T19:35:57Z</dcterms:created>
  <dcterms:modified xsi:type="dcterms:W3CDTF">2022-06-08T20:02:50Z</dcterms:modified>
</cp:coreProperties>
</file>